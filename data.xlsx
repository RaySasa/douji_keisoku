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aray/Desktop/TeX/Physics_Laboratory/douji_sokutei/"/>
    </mc:Choice>
  </mc:AlternateContent>
  <xr:revisionPtr revIDLastSave="0" documentId="13_ncr:1_{768C424F-BA04-854E-BBF6-00C6B9EA9284}" xr6:coauthVersionLast="47" xr6:coauthVersionMax="47" xr10:uidLastSave="{00000000-0000-0000-0000-000000000000}"/>
  <bookViews>
    <workbookView xWindow="0" yWindow="660" windowWidth="29400" windowHeight="18460" xr2:uid="{10402794-AE0E-6B4D-9BC0-982A88CB42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F5" i="1"/>
  <c r="E5" i="1"/>
  <c r="C11" i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<sst xmlns="http://schemas.openxmlformats.org/spreadsheetml/2006/main" count="34" uniqueCount="33">
  <si>
    <t>ch</t>
    <phoneticPr fontId="1"/>
  </si>
  <si>
    <t>エネルギー</t>
    <phoneticPr fontId="1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</si>
  <si>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</si>
  <si>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</si>
  <si>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</si>
  <si>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</si>
  <si>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</si>
  <si>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</si>
  <si>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</si>
  <si>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</si>
  <si>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</si>
  <si>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</si>
  <si>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</si>
  <si>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</si>
  <si>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</si>
  <si>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</si>
  <si>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</si>
  <si>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</si>
  <si>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</si>
  <si>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</si>
  <si>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</si>
  <si>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</si>
  <si>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</si>
  <si>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</si>
  <si>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</si>
  <si>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</si>
  <si>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X 値 1</t>
  </si>
  <si>
    <t>傾き</t>
    <rPh sb="0" eb="1">
      <t xml:space="preserve">カタムキ </t>
    </rPh>
    <phoneticPr fontId="1"/>
  </si>
  <si>
    <t>切片</t>
    <rPh sb="0" eb="2">
      <t xml:space="preserve">セッペン </t>
    </rPh>
    <phoneticPr fontId="1"/>
  </si>
  <si>
    <t>Cs137</t>
    <phoneticPr fontId="1"/>
  </si>
  <si>
    <t>予測値</t>
    <rPh sb="0" eb="3">
      <t xml:space="preserve">ヨソクチ </t>
    </rPh>
    <phoneticPr fontId="1"/>
  </si>
  <si>
    <t>誤差</t>
    <rPh sb="0" eb="2">
      <t xml:space="preserve">ゴサ </t>
    </rPh>
    <phoneticPr fontId="1"/>
  </si>
  <si>
    <t>伝搬誤差</t>
    <rPh sb="0" eb="2">
      <t xml:space="preserve">デンパン </t>
    </rPh>
    <rPh sb="2" eb="4">
      <t xml:space="preserve">ゴサ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</si>
</sst>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336</c:v>
                </c:pt>
                <c:pt idx="1">
                  <c:v>138</c:v>
                </c:pt>
                <c:pt idx="2">
                  <c:v>35</c:v>
                </c:pt>
                <c:pt idx="3">
                  <c:v>308</c:v>
                </c:pt>
                <c:pt idx="4">
                  <c:v>350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1275</c:v>
                </c:pt>
                <c:pt idx="1">
                  <c:v>511</c:v>
                </c:pt>
                <c:pt idx="2">
                  <c:v>122</c:v>
                </c:pt>
                <c:pt idx="3">
                  <c:v>1173</c:v>
                </c:pt>
                <c:pt idx="4">
                  <c:v>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3-7940-9129-4E43EC47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88927"/>
        <c:axId val="780790719"/>
      </c:scatterChart>
      <c:valAx>
        <c:axId val="7807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90719"/>
        <c:crosses val="autoZero"/>
        <c:crossBetween val="midCat"/>
      </c:valAx>
      <c:valAx>
        <c:axId val="7807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07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831850</xdr:colOff>
      <xdr:row>3</xdr:row>
      <xdr:rowOff>165100</xdr:rowOff>
    </xdr:from>
    <xdr:to>
      <xdr:col>13</xdr:col>
      <xdr:colOff>660400</xdr:colOff>
      <xdr:row>20</xdr:row>
      <xdr:rowOff>88900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BE1E1E-C236-02E0-EFD9-F3D65908F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C4F7-1C94-C84E-928F-3F14F658D6C5}">
  <dimension ref="A2:F12"/>
  <sheetViews>
    <sheetView tabSelected="1" workbookViewId="0">
      <selection activeCell="C12" sqref="C12"/>
    </sheetView>
  </sheetViews>
  <sheetFormatPr baseColWidth="10" defaultRowHeight="20"/>
  <sheetData>
    <row r="2" spans="1:6">
      <c r="B2" t="s">
        <v>0</v>
      </c>
      <c r="C2" t="s">
        <v>1</v>
      </c>
    </row>
    <row r="3" spans="1:6">
      <c r="B3">
        <v>336</v>
      </c>
      <c r="C3">
        <v>1275</v>
      </c>
      <c r="E3" t="s">
        <v>27</v>
      </c>
      <c r="F3" t="s">
        <v>28</v>
      </c>
    </row>
    <row r="4" spans="1:6">
      <c r="B4">
        <v>138</v>
      </c>
      <c r="C4">
        <v>511</v>
      </c>
      <c r="E4" cm="1">
        <f t="array" ref="E4:F4">LINEST(C3:C7,B3:B7,TRUE,FALSE)</f>
        <v>3.8488775604213354</v>
      </c>
      <c r="F4">
        <v>-15.528022602339774</v>
      </c>
    </row>
    <row r="5" spans="1:6">
      <c r="B5">
        <v>35</v>
      </c>
      <c r="C5">
        <v>122</v>
      </c>
      <c r="D5" t="s">
        <v>31</v>
      </c>
      <c r="E5">
        <f>Sheet2!C18</f>
        <v>1.4305982448012507E-2</v>
      </c>
      <c r="F5">
        <f>Sheet2!C17</f>
        <v>3.7878664857879132</v>
      </c>
    </row>
    <row r="6" spans="1:6">
      <c r="B6">
        <v>308</v>
      </c>
      <c r="C6">
        <v>1173</v>
      </c>
    </row>
    <row r="7" spans="1:6">
      <c r="B7">
        <v>350</v>
      </c>
      <c r="C7">
        <v>1333</v>
      </c>
    </row>
    <row r="9" spans="1:6">
      <c r="A9" t="s">
        <v>29</v>
      </c>
      <c r="B9">
        <v>178</v>
      </c>
      <c r="C9">
        <v>661.7</v>
      </c>
    </row>
    <row r="11" spans="1:6">
      <c r="B11" t="s">
        <v>30</v>
      </c>
      <c r="C11">
        <f>E4*B9+F4</f>
        <v>669.57218315265789</v>
      </c>
    </row>
    <row r="12" spans="1:6">
      <c r="B12" t="s">
        <v>32</v>
      </c>
      <c r="C12">
        <f>SQRT((B9*E5)^2+F5^2)</f>
        <v>4.5642541425258649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5B58-FE65-1649-820B-550CCEC4C2C0}">
  <dimension ref="A1:I18"/>
  <sheetViews>
    <sheetView topLeftCell="A5" zoomScale="159" workbookViewId="0">
      <selection activeCell="C18" sqref="C18"/>
    </sheetView>
  </sheetViews>
  <sheetFormatPr baseColWidth="10" defaultRowHeight="20"/>
  <sheetData>
    <row r="1" spans="1:9">
      <c r="A1" t="s">
        <v>2</v>
      </c>
    </row>
    <row r="2" spans="1:9" ht="21" thickBot="1"/>
    <row r="3" spans="1:9">
      <c r="A3" s="4" t="s">
        <v>3</v>
      </c>
      <c r="B3" s="4"/>
    </row>
    <row r="4" spans="1:9">
      <c r="A4" s="1" t="s">
        <v>4</v>
      </c>
      <c r="B4" s="1">
        <v>0.9999792773666133</v>
      </c>
    </row>
    <row r="5" spans="1:9">
      <c r="A5" s="1" t="s">
        <v>5</v>
      </c>
      <c r="B5" s="1">
        <v>0.99995855516265408</v>
      </c>
    </row>
    <row r="6" spans="1:9">
      <c r="A6" s="1" t="s">
        <v>6</v>
      </c>
      <c r="B6" s="1">
        <v>0.99994474021687207</v>
      </c>
    </row>
    <row r="7" spans="1:9">
      <c r="A7" s="1" t="s">
        <v>7</v>
      </c>
      <c r="B7" s="1">
        <v>3.9993140911977223</v>
      </c>
    </row>
    <row r="8" spans="1:9" ht="21" thickBot="1">
      <c r="A8" s="2" t="s">
        <v>8</v>
      </c>
      <c r="B8" s="2">
        <v>5</v>
      </c>
    </row>
    <row r="10" spans="1:9" ht="21" thickBot="1">
      <c r="A10" t="s">
        <v>9</v>
      </c>
    </row>
    <row r="11" spans="1:9">
      <c r="A11" s="3"/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9">
      <c r="A12" s="1" t="s">
        <v>10</v>
      </c>
      <c r="B12" s="1">
        <v>1</v>
      </c>
      <c r="C12" s="1">
        <v>1157720.8164603997</v>
      </c>
      <c r="D12" s="1">
        <v>1157720.8164603997</v>
      </c>
      <c r="E12" s="1">
        <v>72382.372753713295</v>
      </c>
      <c r="F12" s="1">
        <v>1.132400162722055E-7</v>
      </c>
    </row>
    <row r="13" spans="1:9">
      <c r="A13" s="1" t="s">
        <v>11</v>
      </c>
      <c r="B13" s="1">
        <v>3</v>
      </c>
      <c r="C13" s="1">
        <v>47.983539600157989</v>
      </c>
      <c r="D13" s="1">
        <v>15.994513200052664</v>
      </c>
      <c r="E13" s="1"/>
      <c r="F13" s="1"/>
    </row>
    <row r="14" spans="1:9" ht="21" thickBot="1">
      <c r="A14" s="2" t="s">
        <v>12</v>
      </c>
      <c r="B14" s="2">
        <v>4</v>
      </c>
      <c r="C14" s="2">
        <v>1157768.7999999998</v>
      </c>
      <c r="D14" s="2"/>
      <c r="E14" s="2"/>
      <c r="F14" s="2"/>
    </row>
    <row r="15" spans="1:9" ht="21" thickBot="1"/>
    <row r="16" spans="1:9">
      <c r="A16" s="3"/>
      <c r="B16" s="3" t="s">
        <v>19</v>
      </c>
      <c r="C16" s="3" t="s">
        <v>7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</row>
    <row r="17" spans="1:9">
      <c r="A17" s="1" t="s">
        <v>13</v>
      </c>
      <c r="B17" s="1">
        <v>-15.528022602339774</v>
      </c>
      <c r="C17" s="1">
        <v>3.7878664857879132</v>
      </c>
      <c r="D17" s="1">
        <v>-4.0994112808888499</v>
      </c>
      <c r="E17" s="1">
        <v>2.6260344312889514E-2</v>
      </c>
      <c r="F17" s="1">
        <v>-27.582704304943505</v>
      </c>
      <c r="G17" s="1">
        <v>-3.4733408997360429</v>
      </c>
      <c r="H17" s="1">
        <v>-27.582704304943505</v>
      </c>
      <c r="I17" s="1">
        <v>-3.4733408997360429</v>
      </c>
    </row>
    <row r="18" spans="1:9" ht="21" thickBot="1">
      <c r="A18" s="2" t="s">
        <v>26</v>
      </c>
      <c r="B18" s="2">
        <v>3.8488775604213354</v>
      </c>
      <c r="C18" s="2">
        <v>1.4305982448012507E-2</v>
      </c>
      <c r="D18" s="2">
        <v>269.03972337503109</v>
      </c>
      <c r="E18" s="2">
        <v>1.132400162722055E-7</v>
      </c>
      <c r="F18" s="2">
        <v>3.8033495394362045</v>
      </c>
      <c r="G18" s="2">
        <v>3.8944055814064664</v>
      </c>
      <c r="H18" s="2">
        <v>3.8033495394362045</v>
      </c>
      <c r="I18" s="2">
        <v>3.8944055814064664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Rei</dc:creator>
  <cp:lastModifiedBy>Sasa Rei</cp:lastModifiedBy>
  <dcterms:created xsi:type="dcterms:W3CDTF">2026-04-28T06:08:31Z</dcterms:created>
  <dcterms:modified xsi:type="dcterms:W3CDTF">2026-04-28T06:56:01Z</dcterms:modified>
</cp:coreProperties>
</file>