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keisoku/analysis/"/>
    </mc:Choice>
  </mc:AlternateContent>
  <xr:revisionPtr revIDLastSave="0" documentId="13_ncr:1_{8F289FFB-1ECF-BA44-AF2F-7F78A2C39835}" xr6:coauthVersionLast="47" xr6:coauthVersionMax="47" xr10:uidLastSave="{00000000-0000-0000-0000-000000000000}"/>
  <bookViews>
    <workbookView xWindow="820" yWindow="700" windowWidth="28580" windowHeight="18420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G5" i="3"/>
  <c r="H7" i="3"/>
  <c r="H15" i="1"/>
  <c r="H16" i="1"/>
  <c r="G21" i="1"/>
  <c r="C21" i="1"/>
  <c r="G22" i="1"/>
  <c r="G6" i="3"/>
  <c r="E6" i="3"/>
  <c r="H10" i="3"/>
  <c r="E5" i="3"/>
  <c r="I7" i="3"/>
  <c r="E16" i="4"/>
  <c r="E13" i="4"/>
  <c r="E10" i="4"/>
  <c r="E22" i="1"/>
  <c r="C22" i="1"/>
  <c r="E7" i="3"/>
  <c r="I6" i="3"/>
  <c r="I8" i="3"/>
  <c r="I9" i="3"/>
  <c r="I10" i="3"/>
  <c r="I5" i="3"/>
  <c r="H6" i="3"/>
  <c r="H8" i="3"/>
  <c r="H9" i="3"/>
  <c r="H5" i="3"/>
  <c r="G7" i="3"/>
  <c r="G8" i="3"/>
  <c r="G9" i="3"/>
  <c r="G10" i="3"/>
  <c r="E8" i="3"/>
  <c r="E9" i="3"/>
  <c r="E10" i="3"/>
  <c r="J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I24" i="1"/>
  <c r="I26" i="1"/>
  <c r="I21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<sst xmlns="http://schemas.openxmlformats.org/spreadsheetml/2006/main" count="106" uniqueCount="55">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</sst>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abSelected="1" topLeftCell="A9" zoomScale="134" workbookViewId="0">
      <selection activeCell="E13" sqref="E13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5" spans="1:8">
      <c r="H15">
        <f>(G21-F4)/E4</f>
        <v>48.289755394382283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J22">
        <f t="shared" ref="J22:J26" si="1">SQRT((H22*$E$5)^2+$F$5^2)</f>
        <v>3.7878664857879132</v>
      </c>
    </row>
    <row r="23" spans="1:10">
      <c r="A23" t="s">
        <v>41</v>
      </c>
      <c r="B23">
        <v>122</v>
      </c>
      <c r="C23">
        <f t="shared" ref="C23:C26" si="2">B23/(1+$F$10/(2*B23))</f>
        <v>39.427814569536423</v>
      </c>
      <c r="F23">
        <f t="shared" si="0"/>
        <v>3.7878664857879132</v>
      </c>
      <c r="G23">
        <f t="shared" ref="G23:G26" si="3">B23/(1+(2*B23)/$F$10)</f>
        <v>82.572185430463577</v>
      </c>
      <c r="J23">
        <f t="shared" si="1"/>
        <v>3.7878664857879132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4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F25">
        <f t="shared" si="0"/>
        <v>3.7878664857879132</v>
      </c>
      <c r="G25">
        <f t="shared" si="3"/>
        <v>214.4044696254328</v>
      </c>
      <c r="J25">
        <f t="shared" si="1"/>
        <v>3.7878664857879132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ref="E24:E26" si="5">D26*$E$4+$F$4</f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4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zoomScale="166" zoomScaleNormal="166" workbookViewId="0">
      <selection activeCell="E6" sqref="E6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>$J$5*F6</f>
        <v>82.750867549058711</v>
      </c>
      <c r="H6">
        <f t="shared" ref="H6:H9" si="0">G6/E6</f>
        <v>6.4765752437467669E-2</v>
      </c>
      <c r="I6">
        <f t="shared" ref="I6:I10" si="1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ref="G7:G10" si="2">$J$5*F7</f>
        <v>17.319949021896008</v>
      </c>
      <c r="H7">
        <f>G7/E7</f>
        <v>0.14532268678822086</v>
      </c>
      <c r="I7">
        <f>1/SQRT(E7)</f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8:E10" si="3">D8*$J$5+$K$5</f>
        <v>1169.9262660074314</v>
      </c>
      <c r="F8">
        <v>16.5</v>
      </c>
      <c r="G8">
        <f t="shared" si="2"/>
        <v>63.506479746952031</v>
      </c>
      <c r="H8">
        <f t="shared" si="0"/>
        <v>5.4282463427099976E-2</v>
      </c>
      <c r="I8">
        <f t="shared" si="1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2"/>
        <v>76.977551208426704</v>
      </c>
      <c r="H9">
        <f t="shared" si="0"/>
        <v>5.7809220531698971E-2</v>
      </c>
      <c r="I9">
        <f t="shared" si="1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2"/>
        <v>61.582040966741367</v>
      </c>
      <c r="H10">
        <f>G10/E10</f>
        <v>9.1972221242502067E-2</v>
      </c>
      <c r="I10">
        <f t="shared" si="1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workbookViewId="0">
      <selection activeCell="G13" sqref="G13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>
        <v>1.9230217530069063</v>
      </c>
      <c r="F4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0.99998565567891595</v>
      </c>
    </row>
    <row r="5" spans="1:9">
      <c r="A5" t="s">
        <v>5</v>
      </c>
      <c r="B5">
        <v>0.99997131156359154</v>
      </c>
    </row>
    <row r="6" spans="1:9">
      <c r="A6" t="s">
        <v>6</v>
      </c>
      <c r="B6">
        <v>0.99996772550904045</v>
      </c>
    </row>
    <row r="7" spans="1:9">
      <c r="A7" t="s">
        <v>7</v>
      </c>
      <c r="B7">
        <v>0.8600138087010355</v>
      </c>
    </row>
    <row r="8" spans="1:9" ht="21" thickBot="1">
      <c r="A8" s="1" t="s">
        <v>8</v>
      </c>
      <c r="B8" s="1">
        <v>10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206244.08300999075</v>
      </c>
      <c r="D12">
        <v>206244.08300999075</v>
      </c>
      <c r="E12">
        <v>278850.0000000156</v>
      </c>
      <c r="F12">
        <v>1.8522114878870002E-19</v>
      </c>
    </row>
    <row r="13" spans="1:9">
      <c r="A13" t="s">
        <v>11</v>
      </c>
      <c r="B13">
        <v>8</v>
      </c>
      <c r="C13">
        <v>5.9169900092516903</v>
      </c>
      <c r="D13">
        <v>0.73962375115646128</v>
      </c>
    </row>
    <row r="14" spans="1:9" ht="21" thickBot="1">
      <c r="A14" s="1" t="s">
        <v>12</v>
      </c>
      <c r="B14" s="1">
        <v>9</v>
      </c>
      <c r="C14" s="1">
        <v>206250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9.4693284754248452</v>
      </c>
      <c r="C17">
        <v>0.58169221916100677</v>
      </c>
      <c r="D17">
        <v>16.278932678664258</v>
      </c>
      <c r="E17">
        <v>2.0403247101735171E-7</v>
      </c>
      <c r="F17">
        <v>8.1279438126234744</v>
      </c>
      <c r="G17">
        <v>10.810713138226216</v>
      </c>
      <c r="H17">
        <v>8.1279438126234744</v>
      </c>
      <c r="I17">
        <v>10.810713138226216</v>
      </c>
    </row>
    <row r="18" spans="1:9" ht="21" thickBot="1">
      <c r="A18" s="1" t="s">
        <v>26</v>
      </c>
      <c r="B18" s="1">
        <v>1.9230217530069063</v>
      </c>
      <c r="C18" s="1">
        <v>3.6416556117431337E-3</v>
      </c>
      <c r="D18" s="1">
        <v>528.06249630135198</v>
      </c>
      <c r="E18" s="1">
        <v>1.8522114878870134E-19</v>
      </c>
      <c r="F18" s="1">
        <v>1.9146240801072372</v>
      </c>
      <c r="G18" s="1">
        <v>1.9314194259065753</v>
      </c>
      <c r="H18" s="1">
        <v>1.9146240801072372</v>
      </c>
      <c r="I18" s="1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2026-06-10T01:01:03Z</dcterms:modified>
</cp:coreProperties>
</file>