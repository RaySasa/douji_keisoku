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saray/Desktop/TeX/Physics_Laboratory/douji_sokutei/"/>
    </mc:Choice>
  </mc:AlternateContent>
  <xr:revisionPtr revIDLastSave="0" documentId="13_ncr:1_{62D8761B-CB27-F842-BF84-3F66C27A07DD}" xr6:coauthVersionLast="47" xr6:coauthVersionMax="47" xr10:uidLastSave="{00000000-0000-0000-0000-000000000000}"/>
  <bookViews>
    <workbookView xWindow="0" yWindow="660" windowWidth="29400" windowHeight="18460" activeTab="3" xr2:uid="{10402794-AE0E-6B4D-9BC0-982A88CB420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4" l="1"/>
  <c r="E13" i="4"/>
  <c r="E10" i="4"/>
  <c r="G22" i="1"/>
  <c r="E22" i="1"/>
  <c r="H16" i="1"/>
  <c r="C22" i="1"/>
  <c r="E7" i="3"/>
  <c r="I7" i="3" s="1"/>
  <c r="E6" i="3"/>
  <c r="E5" i="3"/>
  <c r="I6" i="3"/>
  <c r="I8" i="3"/>
  <c r="I9" i="3"/>
  <c r="I10" i="3"/>
  <c r="I5" i="3"/>
  <c r="H6" i="3"/>
  <c r="H8" i="3"/>
  <c r="H9" i="3"/>
  <c r="H10" i="3"/>
  <c r="H5" i="3"/>
  <c r="G6" i="3"/>
  <c r="G7" i="3"/>
  <c r="G8" i="3"/>
  <c r="G9" i="3"/>
  <c r="G10" i="3"/>
  <c r="G5" i="3"/>
  <c r="E8" i="3"/>
  <c r="E9" i="3"/>
  <c r="E10" i="3"/>
  <c r="J21" i="1"/>
  <c r="G21" i="1"/>
  <c r="F21" i="1"/>
  <c r="J22" i="1"/>
  <c r="J23" i="1"/>
  <c r="J24" i="1"/>
  <c r="J25" i="1"/>
  <c r="J26" i="1"/>
  <c r="F22" i="1"/>
  <c r="F23" i="1"/>
  <c r="F24" i="1"/>
  <c r="F25" i="1"/>
  <c r="F26" i="1"/>
  <c r="C12" i="1"/>
  <c r="E21" i="1"/>
  <c r="C21" i="1"/>
  <c r="I24" i="1"/>
  <c r="I26" i="1"/>
  <c r="I21" i="1"/>
  <c r="E24" i="1"/>
  <c r="E26" i="1"/>
  <c r="G23" i="1"/>
  <c r="G24" i="1"/>
  <c r="G25" i="1"/>
  <c r="G26" i="1"/>
  <c r="C23" i="1"/>
  <c r="C24" i="1"/>
  <c r="C25" i="1"/>
  <c r="C26" i="1"/>
  <c r="F5" i="1"/>
  <c r="E5" i="1"/>
  <c r="E4" i="1" a="1"/>
  <c r="E4" i="1" s="1"/>
  <c r="C11" i="1" s="1"/>
  <c r="H7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<sst xmlns="http://schemas.openxmlformats.org/spreadsheetml/2006/main" count="106" uniqueCount="55">
  <si>
    <t>ch</t>
    <phoneticPr fontId="1"/>
  </si>
  <si>
    <t>エネルギー</t>
    <phoneticPr fontId="1"/>
  </si>
  <si>
    <t>概要</t>
  </si>
  <si>
    <t>回帰統計</t>
  </si>
  <si>
    <t>重相関 R</t>
  </si>
  <si>
    <t>重決定 R2</t>
  </si>
  <si>
    <t>補正 R2</t>
  </si>
  <si>
    <t>標準誤差</t>
  </si>
  <si>
    <t>観測数</t>
  </si>
  <si>
    <t>分散分析表</t>
  </si>
  <si>
    <t>回帰</t>
  </si>
  <si>
    <t>残差</t>
  </si>
  <si>
    <t>合計</t>
  </si>
  <si>
    <t>切片</t>
  </si>
  <si>
    <t>自由度</t>
  </si>
  <si>
    <t>変動</t>
  </si>
  <si>
    <t>分散</t>
  </si>
  <si>
    <t>観測された分散比</t>
  </si>
  <si>
    <t>有意 F</t>
  </si>
  <si>
    <t>係数</t>
  </si>
  <si>
    <t xml:space="preserve">t </t>
  </si>
  <si>
    <t>P-値</t>
  </si>
  <si>
    <t>下限 95%</t>
  </si>
  <si>
    <t>上限 95%</t>
  </si>
  <si>
    <t>下限 95.0%</t>
  </si>
  <si>
    <t>上限 95.0%</t>
  </si>
  <si>
    <t>X 値 1</t>
  </si>
  <si>
    <t>傾き</t>
    <rPh sb="0" eb="1">
      <t xml:space="preserve">カタムキ </t>
    </rPh>
    <phoneticPr fontId="1"/>
  </si>
  <si>
    <t>切片</t>
    <rPh sb="0" eb="2">
      <t xml:space="preserve">セッペン </t>
    </rPh>
    <phoneticPr fontId="1"/>
  </si>
  <si>
    <t>Cs137</t>
    <phoneticPr fontId="1"/>
  </si>
  <si>
    <t>予測値</t>
    <rPh sb="0" eb="3">
      <t xml:space="preserve">ヨソクチ </t>
    </rPh>
    <phoneticPr fontId="1"/>
  </si>
  <si>
    <t>誤差</t>
    <rPh sb="0" eb="2">
      <t xml:space="preserve">ゴサ </t>
    </rPh>
    <phoneticPr fontId="1"/>
  </si>
  <si>
    <t>伝搬誤差</t>
    <rPh sb="0" eb="2">
      <t xml:space="preserve">デンパン </t>
    </rPh>
    <rPh sb="2" eb="4">
      <t xml:space="preserve">ゴサ </t>
    </rPh>
    <phoneticPr fontId="1"/>
  </si>
  <si>
    <t>課題3</t>
    <rPh sb="0" eb="2">
      <t xml:space="preserve">カダイ </t>
    </rPh>
    <phoneticPr fontId="1"/>
  </si>
  <si>
    <t>22Na</t>
    <phoneticPr fontId="1"/>
  </si>
  <si>
    <t>コンプトン端</t>
    <rPh sb="5" eb="6">
      <t xml:space="preserve">タン </t>
    </rPh>
    <phoneticPr fontId="1"/>
  </si>
  <si>
    <t>実験値</t>
    <rPh sb="0" eb="3">
      <t xml:space="preserve">ジッケンチ </t>
    </rPh>
    <phoneticPr fontId="1"/>
  </si>
  <si>
    <t>keV</t>
    <phoneticPr fontId="1"/>
  </si>
  <si>
    <t>mec^2</t>
    <phoneticPr fontId="1"/>
  </si>
  <si>
    <t>後方散乱ピーク</t>
    <rPh sb="0" eb="2">
      <t xml:space="preserve">コウホウ </t>
    </rPh>
    <rPh sb="2" eb="4">
      <t xml:space="preserve">サンラン </t>
    </rPh>
    <phoneticPr fontId="1"/>
  </si>
  <si>
    <t>実験値</t>
    <rPh sb="0" eb="2">
      <t xml:space="preserve">ジッケン </t>
    </rPh>
    <rPh sb="2" eb="3">
      <t xml:space="preserve">アタイ </t>
    </rPh>
    <phoneticPr fontId="1"/>
  </si>
  <si>
    <t>57Co</t>
    <phoneticPr fontId="1"/>
  </si>
  <si>
    <t>60Co</t>
    <phoneticPr fontId="1"/>
  </si>
  <si>
    <t>137Cs</t>
    <phoneticPr fontId="1"/>
  </si>
  <si>
    <t>実験から計算</t>
    <rPh sb="0" eb="2">
      <t xml:space="preserve">ジッケンカラノ </t>
    </rPh>
    <rPh sb="4" eb="6">
      <t xml:space="preserve">ケイサン </t>
    </rPh>
    <phoneticPr fontId="1"/>
  </si>
  <si>
    <t>実験からの計算</t>
    <rPh sb="0" eb="2">
      <t xml:space="preserve">ジッケンカラノ </t>
    </rPh>
    <rPh sb="5" eb="7">
      <t xml:space="preserve">ケイサン </t>
    </rPh>
    <phoneticPr fontId="1"/>
  </si>
  <si>
    <t>課題4</t>
    <rPh sb="0" eb="2">
      <t xml:space="preserve">カダイ </t>
    </rPh>
    <phoneticPr fontId="1"/>
  </si>
  <si>
    <t>ピーク</t>
    <phoneticPr fontId="1"/>
  </si>
  <si>
    <t>FWHM</t>
    <phoneticPr fontId="1"/>
  </si>
  <si>
    <t>√peak</t>
    <phoneticPr fontId="1"/>
  </si>
  <si>
    <t>分解能</t>
    <rPh sb="0" eb="2">
      <t xml:space="preserve">ブンカイ </t>
    </rPh>
    <rPh sb="2" eb="3">
      <t xml:space="preserve">ノウリョク </t>
    </rPh>
    <phoneticPr fontId="1"/>
  </si>
  <si>
    <t>時間較正</t>
    <rPh sb="0" eb="2">
      <t xml:space="preserve">ジカンコウセイ </t>
    </rPh>
    <rPh sb="2" eb="4">
      <t>コウセイ</t>
    </rPh>
    <phoneticPr fontId="1"/>
  </si>
  <si>
    <t>ns</t>
    <phoneticPr fontId="1"/>
  </si>
  <si>
    <t>遅延時間</t>
    <rPh sb="0" eb="4">
      <t xml:space="preserve">チエンジカン </t>
    </rPh>
    <phoneticPr fontId="1"/>
  </si>
  <si>
    <t>係数</t>
    <rPh sb="0" eb="2">
      <t xml:space="preserve">ケイスウ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</si>
</sst>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Continuous" vertical="center"/>
    </xf>
    <xf numFmtId="0" fontId="2" fillId="0" borderId="0" xfId="0" applyFon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Continuous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Sheet1!$B$3:$B$7</c:f>
              <c:numCache>
                <c:formatCode>General</c:formatCode>
                <c:ptCount val="5"/>
                <c:pt idx="0">
                  <c:v>336</c:v>
                </c:pt>
                <c:pt idx="1">
                  <c:v>138</c:v>
                </c:pt>
                <c:pt idx="2">
                  <c:v>35</c:v>
                </c:pt>
                <c:pt idx="3">
                  <c:v>308</c:v>
                </c:pt>
                <c:pt idx="4">
                  <c:v>350</c:v>
                </c:pt>
              </c:numCache>
            </c:numRef>
          </c:xVal>
          <c:yVal>
            <c:numRef>
              <c:f>Sheet1!$C$3:$C$7</c:f>
              <c:numCache>
                <c:formatCode>General</c:formatCode>
                <c:ptCount val="5"/>
                <c:pt idx="0">
                  <c:v>1275</c:v>
                </c:pt>
                <c:pt idx="1">
                  <c:v>511</c:v>
                </c:pt>
                <c:pt idx="2">
                  <c:v>122</c:v>
                </c:pt>
                <c:pt idx="3">
                  <c:v>1173</c:v>
                </c:pt>
                <c:pt idx="4">
                  <c:v>1333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53-7940-9129-4E43EC477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788927"/>
        <c:axId val="780790719"/>
      </c:scatterChart>
      <c:valAx>
        <c:axId val="78078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0790719"/>
        <c:crosses val="autoZero"/>
        <c:crossBetween val="midCat"/>
      </c:valAx>
      <c:valAx>
        <c:axId val="78079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078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Sheet3!$E$5:$E$10</c:f>
              <c:numCache>
                <c:formatCode>General</c:formatCode>
                <c:ptCount val="6"/>
                <c:pt idx="0">
                  <c:v>515.61708073580451</c:v>
                </c:pt>
                <c:pt idx="1">
                  <c:v>1277.6948376992291</c:v>
                </c:pt>
                <c:pt idx="2">
                  <c:v>119.18269201240696</c:v>
                </c:pt>
                <c:pt idx="3">
                  <c:v>1169.9262660074314</c:v>
                </c:pt>
                <c:pt idx="4">
                  <c:v>1331.5791235451275</c:v>
                </c:pt>
                <c:pt idx="5">
                  <c:v>669.57218315265789</c:v>
                </c:pt>
              </c:numCache>
            </c:numRef>
          </c:xVal>
          <c:yVal>
            <c:numRef>
              <c:f>Sheet3!$H$5:$H$10</c:f>
              <c:numCache>
                <c:formatCode>General</c:formatCode>
                <c:ptCount val="6"/>
                <c:pt idx="0">
                  <c:v>0.10077216020760876</c:v>
                </c:pt>
                <c:pt idx="1">
                  <c:v>6.4765752437467669E-2</c:v>
                </c:pt>
                <c:pt idx="2">
                  <c:v>0.14532268678822086</c:v>
                </c:pt>
                <c:pt idx="3">
                  <c:v>5.4282463427099976E-2</c:v>
                </c:pt>
                <c:pt idx="4">
                  <c:v>5.7809220531698971E-2</c:v>
                </c:pt>
                <c:pt idx="5">
                  <c:v>9.1972221242502067E-2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07-3D46-A5EC-96A2B191C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782208"/>
        <c:axId val="954082048"/>
      </c:scatterChart>
      <c:valAx>
        <c:axId val="95378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4082048"/>
        <c:crosses val="autoZero"/>
        <c:crossBetween val="midCat"/>
      </c:valAx>
      <c:valAx>
        <c:axId val="95408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378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Sheet3!$I$5:$I$10</c:f>
              <c:numCache>
                <c:formatCode>General</c:formatCode>
                <c:ptCount val="6"/>
                <c:pt idx="0">
                  <c:v>4.4038888793596818E-2</c:v>
                </c:pt>
                <c:pt idx="1">
                  <c:v>2.7976052219496606E-2</c:v>
                </c:pt>
                <c:pt idx="2">
                  <c:v>9.1599563607362294E-2</c:v>
                </c:pt>
                <c:pt idx="3">
                  <c:v>2.9236188564454289E-2</c:v>
                </c:pt>
                <c:pt idx="4">
                  <c:v>2.7404161051413384E-2</c:v>
                </c:pt>
                <c:pt idx="5">
                  <c:v>3.8645710707761918E-2</c:v>
                </c:pt>
              </c:numCache>
            </c:numRef>
          </c:xVal>
          <c:yVal>
            <c:numRef>
              <c:f>Sheet3!$H$5:$H$10</c:f>
              <c:numCache>
                <c:formatCode>General</c:formatCode>
                <c:ptCount val="6"/>
                <c:pt idx="0">
                  <c:v>0.10077216020760876</c:v>
                </c:pt>
                <c:pt idx="1">
                  <c:v>6.4765752437467669E-2</c:v>
                </c:pt>
                <c:pt idx="2">
                  <c:v>0.14532268678822086</c:v>
                </c:pt>
                <c:pt idx="3">
                  <c:v>5.4282463427099976E-2</c:v>
                </c:pt>
                <c:pt idx="4">
                  <c:v>5.7809220531698971E-2</c:v>
                </c:pt>
                <c:pt idx="5">
                  <c:v>9.1972221242502067E-2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E9-7245-9EB3-DD27A43FF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008896"/>
        <c:axId val="974111616"/>
      </c:scatterChart>
      <c:valAx>
        <c:axId val="95400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4111616"/>
        <c:crosses val="autoZero"/>
        <c:crossBetween val="midCat"/>
      </c:valAx>
      <c:valAx>
        <c:axId val="9741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400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Sheet4!$C$4</c:f>
              <c:strCache>
                <c:ptCount val="1"/>
                <c:pt idx="0">
                  <c:v>ns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Sheet4!$B$5:$B$14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76</c:v>
                </c:pt>
                <c:pt idx="3">
                  <c:v>102</c:v>
                </c:pt>
                <c:pt idx="4">
                  <c:v>128</c:v>
                </c:pt>
                <c:pt idx="5">
                  <c:v>154</c:v>
                </c:pt>
                <c:pt idx="6">
                  <c:v>180</c:v>
                </c:pt>
                <c:pt idx="7">
                  <c:v>206</c:v>
                </c:pt>
                <c:pt idx="8">
                  <c:v>232</c:v>
                </c:pt>
                <c:pt idx="9">
                  <c:v>259</c:v>
                </c:pt>
              </c:numCache>
            </c:numRef>
          </c:xVal>
          <c:yVal>
            <c:numRef>
              <c:f>Sheet4!$C$5:$C$14</c:f>
              <c:numCache>
                <c:formatCode>General</c:formatCode>
                <c:ptCount val="10"/>
                <c:pt idx="0">
                  <c:v>56</c:v>
                </c:pt>
                <c:pt idx="1">
                  <c:v>106</c:v>
                </c:pt>
                <c:pt idx="2">
                  <c:v>156</c:v>
                </c:pt>
                <c:pt idx="3">
                  <c:v>206</c:v>
                </c:pt>
                <c:pt idx="4">
                  <c:v>256</c:v>
                </c:pt>
                <c:pt idx="5">
                  <c:v>306</c:v>
                </c:pt>
                <c:pt idx="6">
                  <c:v>356</c:v>
                </c:pt>
                <c:pt idx="7">
                  <c:v>406</c:v>
                </c:pt>
                <c:pt idx="8">
                  <c:v>456</c:v>
                </c:pt>
                <c:pt idx="9">
                  <c:v>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92-044D-AF10-9E51E174B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528960"/>
        <c:axId val="916368320"/>
      </c:scatterChart>
      <c:valAx>
        <c:axId val="92752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6368320"/>
        <c:crosses val="autoZero"/>
        <c:crossBetween val="midCat"/>
      </c:valAx>
      <c:valAx>
        <c:axId val="91636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7528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659493</xdr:colOff>
      <xdr:row>0</xdr:row>
      <xdr:rowOff>0</xdr:rowOff>
    </xdr:from>
    <xdr:to>
      <xdr:col>15</xdr:col>
      <xdr:colOff>488043</xdr:colOff>
      <xdr:row>16</xdr:row>
      <xdr:rowOff>177800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EBE1E1E-C236-02E0-EFD9-F3D65908F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463550</xdr:colOff>
      <xdr:row>11</xdr:row>
      <xdr:rowOff>171450</xdr:rowOff>
    </xdr:from>
    <xdr:to>
      <xdr:col>6</xdr:col>
      <xdr:colOff>273050</xdr:colOff>
      <xdr:row>22</xdr:row>
      <xdr:rowOff>120650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BD7499C-D0CA-8174-8714-0EA4A2131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425450</xdr:colOff>
      <xdr:row>12</xdr:row>
      <xdr:rowOff>95250</xdr:rowOff>
    </xdr:from>
    <xdr:to>
      <xdr:col>12</xdr:col>
      <xdr:colOff>234950</xdr:colOff>
      <xdr:row>23</xdr:row>
      <xdr:rowOff>44450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CEFCB6A2-B300-890F-1B63-1BA12CEA5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412750</xdr:colOff>
      <xdr:row>5</xdr:row>
      <xdr:rowOff>101600</xdr:rowOff>
    </xdr:from>
    <xdr:to>
      <xdr:col>13</xdr:col>
      <xdr:colOff>863600</xdr:colOff>
      <xdr:row>23</xdr:row>
      <xdr:rowOff>196850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CD6DD11-CD09-E41B-13BC-6DD022229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FBD2B6-D187-DA4E-BCCC-3AD3051F9903}">
  <we:reference id="WA104100404" version="3.0.0.1" store="Omex" storeType="OMEX"/>
  <we:alternateReferences>
    <we:reference id="WA104100404" version="3.0.0.1" store="WA104100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C4F7-1C94-C84E-928F-3F14F658D6C5}">
  <dimension ref="A2:J26"/>
  <sheetViews>
    <sheetView zoomScale="134" workbookViewId="0">
      <selection activeCell="F22" sqref="F22"/>
    </sheetView>
  </sheetViews>
  <sheetFormatPr baseColWidth="10" defaultRowHeight="20"/>
  <cols>
    <col min="3" max="3" width="12.7109375" bestFit="1" customWidth="1"/>
    <col min="5" max="6" width="13.85546875" bestFit="1" customWidth="1"/>
    <col min="9" max="9" width="12" bestFit="1" customWidth="1"/>
  </cols>
  <sheetData>
    <row r="2" spans="1:8">
      <c r="B2" t="s">
        <v>0</v>
      </c>
      <c r="C2" t="s">
        <v>1</v>
      </c>
    </row>
    <row r="3" spans="1:8">
      <c r="B3">
        <v>336</v>
      </c>
      <c r="C3">
        <v>1275</v>
      </c>
      <c r="E3" t="s">
        <v>27</v>
      </c>
      <c r="F3" t="s">
        <v>28</v>
      </c>
    </row>
    <row r="4" spans="1:8">
      <c r="B4">
        <v>138</v>
      </c>
      <c r="C4">
        <v>511</v>
      </c>
      <c r="E4" cm="1">
        <f t="array" ref="E4:F4">LINEST(C3:C7,B3:B7,TRUE,FALSE)</f>
        <v>3.8488775604213354</v>
      </c>
      <c r="F4">
        <v>-15.528022602339774</v>
      </c>
    </row>
    <row r="5" spans="1:8">
      <c r="B5">
        <v>35</v>
      </c>
      <c r="C5">
        <v>122</v>
      </c>
      <c r="D5" t="s">
        <v>31</v>
      </c>
      <c r="E5">
        <f>Sheet2!C18</f>
        <v>1.4305982448012507E-2</v>
      </c>
      <c r="F5">
        <f>Sheet2!C17</f>
        <v>3.7878664857879132</v>
      </c>
    </row>
    <row r="6" spans="1:8">
      <c r="B6">
        <v>308</v>
      </c>
      <c r="C6">
        <v>1173</v>
      </c>
    </row>
    <row r="7" spans="1:8">
      <c r="B7">
        <v>350</v>
      </c>
      <c r="C7">
        <v>1333</v>
      </c>
    </row>
    <row r="9" spans="1:8">
      <c r="A9" t="s">
        <v>29</v>
      </c>
      <c r="B9">
        <v>178</v>
      </c>
      <c r="C9">
        <v>661.7</v>
      </c>
    </row>
    <row r="10" spans="1:8">
      <c r="E10" t="s">
        <v>38</v>
      </c>
      <c r="F10">
        <v>511</v>
      </c>
    </row>
    <row r="11" spans="1:8">
      <c r="B11" t="s">
        <v>30</v>
      </c>
      <c r="C11">
        <f>E4*B9+F4</f>
        <v>669.57218315265789</v>
      </c>
    </row>
    <row r="12" spans="1:8">
      <c r="B12" t="s">
        <v>32</v>
      </c>
      <c r="C12">
        <f>SQRT((B9*E5)^2+F5^2)</f>
        <v>4.5642541425258649</v>
      </c>
    </row>
    <row r="16" spans="1:8">
      <c r="H16">
        <f>(G22-F4)/E4</f>
        <v>59.335514784553816</v>
      </c>
    </row>
    <row r="18" spans="1:10">
      <c r="A18" t="s">
        <v>33</v>
      </c>
      <c r="C18" t="s">
        <v>35</v>
      </c>
      <c r="G18" t="s">
        <v>39</v>
      </c>
    </row>
    <row r="19" spans="1:10">
      <c r="C19" t="s">
        <v>30</v>
      </c>
      <c r="D19" t="s">
        <v>36</v>
      </c>
      <c r="E19" t="s">
        <v>45</v>
      </c>
      <c r="F19" t="s">
        <v>32</v>
      </c>
      <c r="G19" t="s">
        <v>30</v>
      </c>
      <c r="H19" t="s">
        <v>40</v>
      </c>
      <c r="I19" t="s">
        <v>44</v>
      </c>
      <c r="J19" t="s">
        <v>32</v>
      </c>
    </row>
    <row r="20" spans="1:10">
      <c r="B20" t="s">
        <v>37</v>
      </c>
      <c r="C20" t="s">
        <v>37</v>
      </c>
      <c r="D20" t="s">
        <v>0</v>
      </c>
      <c r="E20" t="s">
        <v>37</v>
      </c>
      <c r="F20" t="s">
        <v>37</v>
      </c>
      <c r="G20" t="s">
        <v>37</v>
      </c>
      <c r="H20" t="s">
        <v>0</v>
      </c>
      <c r="J20" t="s">
        <v>37</v>
      </c>
    </row>
    <row r="21" spans="1:10">
      <c r="A21" t="s">
        <v>34</v>
      </c>
      <c r="B21">
        <v>511</v>
      </c>
      <c r="C21">
        <f>B21/(1+$F$10/(2*B21))</f>
        <v>340.66666666666669</v>
      </c>
      <c r="D21">
        <v>95</v>
      </c>
      <c r="E21">
        <f>D21*$E$4+$F$4</f>
        <v>350.11534563768708</v>
      </c>
      <c r="F21">
        <f>SQRT((D21*$E$5)^2+$F$5^2)</f>
        <v>4.0243010879811072</v>
      </c>
      <c r="G21">
        <f>B21/(1+(2*B21)/$F$10)</f>
        <v>170.33333333333334</v>
      </c>
      <c r="H21">
        <v>53</v>
      </c>
      <c r="I21">
        <f>H21*$E$4+$F$4</f>
        <v>188.46248809999099</v>
      </c>
      <c r="J21">
        <f>SQRT((H21*$E$5)^2+$F$5^2)</f>
        <v>3.8630073309544026</v>
      </c>
    </row>
    <row r="22" spans="1:10">
      <c r="B22">
        <v>1275</v>
      </c>
      <c r="C22">
        <f>B22/(1+$F$10/(2*B22))</f>
        <v>1062.1528912120223</v>
      </c>
      <c r="D22">
        <v>280</v>
      </c>
      <c r="E22">
        <f>D22*$E$4+$F$4</f>
        <v>1062.1576943156342</v>
      </c>
      <c r="F22">
        <f t="shared" ref="F22:F26" si="0">SQRT((D22*$E$5)^2+$F$5^2)</f>
        <v>5.5130178128043523</v>
      </c>
      <c r="G22">
        <f>B22/(1+(2*B22)/$F$10)</f>
        <v>212.84710878797779</v>
      </c>
      <c r="J22">
        <f t="shared" ref="J22:J26" si="1">SQRT((H22*$E$5)^2+$F$5^2)</f>
        <v>3.7878664857879132</v>
      </c>
    </row>
    <row r="23" spans="1:10">
      <c r="A23" t="s">
        <v>41</v>
      </c>
      <c r="B23">
        <v>122</v>
      </c>
      <c r="C23">
        <f t="shared" ref="C22:C26" si="2">B23/(1+$F$10/(2*B23))</f>
        <v>39.427814569536423</v>
      </c>
      <c r="F23">
        <f t="shared" si="0"/>
        <v>3.7878664857879132</v>
      </c>
      <c r="G23">
        <f t="shared" ref="G22:G26" si="3">B23/(1+(2*B23)/$F$10)</f>
        <v>82.572185430463577</v>
      </c>
      <c r="J23">
        <f t="shared" si="1"/>
        <v>3.7878664857879132</v>
      </c>
    </row>
    <row r="24" spans="1:10">
      <c r="A24" t="s">
        <v>42</v>
      </c>
      <c r="B24">
        <v>1173</v>
      </c>
      <c r="C24">
        <f t="shared" si="2"/>
        <v>963.19845992299611</v>
      </c>
      <c r="D24">
        <v>257</v>
      </c>
      <c r="E24">
        <f t="shared" ref="E24:E26" si="4">D24*$E$4+$F$4</f>
        <v>973.63351042594343</v>
      </c>
      <c r="F24">
        <f t="shared" si="0"/>
        <v>5.278787336188036</v>
      </c>
      <c r="G24">
        <f t="shared" si="3"/>
        <v>209.80154007700384</v>
      </c>
      <c r="H24">
        <v>62</v>
      </c>
      <c r="I24">
        <f t="shared" ref="I24:I26" si="5">H24*$E$4+$F$4</f>
        <v>223.10238614378304</v>
      </c>
      <c r="J24">
        <f t="shared" si="1"/>
        <v>3.8903277384422768</v>
      </c>
    </row>
    <row r="25" spans="1:10">
      <c r="B25">
        <v>1333</v>
      </c>
      <c r="C25">
        <f t="shared" si="2"/>
        <v>1118.5955303745673</v>
      </c>
      <c r="F25">
        <f t="shared" si="0"/>
        <v>3.7878664857879132</v>
      </c>
      <c r="G25">
        <f t="shared" si="3"/>
        <v>214.4044696254328</v>
      </c>
      <c r="J25">
        <f t="shared" si="1"/>
        <v>3.7878664857879132</v>
      </c>
    </row>
    <row r="26" spans="1:10">
      <c r="A26" t="s">
        <v>43</v>
      </c>
      <c r="B26">
        <v>661.7</v>
      </c>
      <c r="C26">
        <f t="shared" si="2"/>
        <v>477.37340819886617</v>
      </c>
      <c r="D26">
        <v>125</v>
      </c>
      <c r="E26">
        <f t="shared" si="4"/>
        <v>465.58167245032718</v>
      </c>
      <c r="F26">
        <f t="shared" si="0"/>
        <v>4.1887662539015809</v>
      </c>
      <c r="G26">
        <f t="shared" si="3"/>
        <v>184.32659180113387</v>
      </c>
      <c r="H26">
        <v>56</v>
      </c>
      <c r="I26">
        <f t="shared" si="5"/>
        <v>200.00912078125501</v>
      </c>
      <c r="J26">
        <f t="shared" si="1"/>
        <v>3.8716598287764108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5B58-FE65-1649-820B-550CCEC4C2C0}">
  <dimension ref="A1:I18"/>
  <sheetViews>
    <sheetView topLeftCell="A4" zoomScale="159" workbookViewId="0">
      <selection activeCell="B20" sqref="B20"/>
    </sheetView>
  </sheetViews>
  <sheetFormatPr baseColWidth="10" defaultRowHeight="20"/>
  <sheetData>
    <row r="1" spans="1:9">
      <c r="A1" t="s">
        <v>2</v>
      </c>
    </row>
    <row r="2" spans="1:9" ht="21" thickBot="1"/>
    <row r="3" spans="1:9">
      <c r="A3" s="3" t="s">
        <v>3</v>
      </c>
      <c r="B3" s="3"/>
    </row>
    <row r="4" spans="1:9">
      <c r="A4" t="s">
        <v>4</v>
      </c>
      <c r="B4">
        <v>0.9999792773666133</v>
      </c>
    </row>
    <row r="5" spans="1:9">
      <c r="A5" t="s">
        <v>5</v>
      </c>
      <c r="B5">
        <v>0.99995855516265408</v>
      </c>
    </row>
    <row r="6" spans="1:9">
      <c r="A6" t="s">
        <v>6</v>
      </c>
      <c r="B6">
        <v>0.99994474021687207</v>
      </c>
    </row>
    <row r="7" spans="1:9">
      <c r="A7" t="s">
        <v>7</v>
      </c>
      <c r="B7">
        <v>3.9993140911977223</v>
      </c>
    </row>
    <row r="8" spans="1:9" ht="21" thickBot="1">
      <c r="A8" s="1" t="s">
        <v>8</v>
      </c>
      <c r="B8" s="1">
        <v>5</v>
      </c>
    </row>
    <row r="10" spans="1:9" ht="21" thickBot="1">
      <c r="A10" t="s">
        <v>9</v>
      </c>
    </row>
    <row r="11" spans="1:9">
      <c r="A11" s="2"/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spans="1:9">
      <c r="A12" t="s">
        <v>10</v>
      </c>
      <c r="B12">
        <v>1</v>
      </c>
      <c r="C12">
        <v>1157720.8164603997</v>
      </c>
      <c r="D12">
        <v>1157720.8164603997</v>
      </c>
      <c r="E12">
        <v>72382.372753713295</v>
      </c>
      <c r="F12">
        <v>1.132400162722055E-7</v>
      </c>
    </row>
    <row r="13" spans="1:9">
      <c r="A13" t="s">
        <v>11</v>
      </c>
      <c r="B13">
        <v>3</v>
      </c>
      <c r="C13">
        <v>47.983539600157989</v>
      </c>
      <c r="D13">
        <v>15.994513200052664</v>
      </c>
    </row>
    <row r="14" spans="1:9" ht="21" thickBot="1">
      <c r="A14" s="1" t="s">
        <v>12</v>
      </c>
      <c r="B14" s="1">
        <v>4</v>
      </c>
      <c r="C14" s="1">
        <v>1157768.7999999998</v>
      </c>
      <c r="D14" s="1"/>
      <c r="E14" s="1"/>
      <c r="F14" s="1"/>
    </row>
    <row r="15" spans="1:9" ht="21" thickBot="1"/>
    <row r="16" spans="1:9">
      <c r="A16" s="2"/>
      <c r="B16" s="2" t="s">
        <v>19</v>
      </c>
      <c r="C16" s="2" t="s">
        <v>7</v>
      </c>
      <c r="D16" s="2" t="s">
        <v>20</v>
      </c>
      <c r="E16" s="2" t="s">
        <v>21</v>
      </c>
      <c r="F16" s="2" t="s">
        <v>22</v>
      </c>
      <c r="G16" s="2" t="s">
        <v>23</v>
      </c>
      <c r="H16" s="2" t="s">
        <v>24</v>
      </c>
      <c r="I16" s="2" t="s">
        <v>25</v>
      </c>
    </row>
    <row r="17" spans="1:9">
      <c r="A17" t="s">
        <v>13</v>
      </c>
      <c r="B17">
        <v>-15.528022602339774</v>
      </c>
      <c r="C17">
        <v>3.7878664857879132</v>
      </c>
      <c r="D17">
        <v>-4.0994112808888499</v>
      </c>
      <c r="E17">
        <v>2.6260344312889514E-2</v>
      </c>
      <c r="F17">
        <v>-27.582704304943505</v>
      </c>
      <c r="G17">
        <v>-3.4733408997360429</v>
      </c>
      <c r="H17">
        <v>-27.582704304943505</v>
      </c>
      <c r="I17">
        <v>-3.4733408997360429</v>
      </c>
    </row>
    <row r="18" spans="1:9" ht="21" thickBot="1">
      <c r="A18" s="1" t="s">
        <v>26</v>
      </c>
      <c r="B18" s="1">
        <v>3.8488775604213354</v>
      </c>
      <c r="C18" s="1">
        <v>1.4305982448012507E-2</v>
      </c>
      <c r="D18" s="1">
        <v>269.03972337503109</v>
      </c>
      <c r="E18" s="1">
        <v>1.132400162722055E-7</v>
      </c>
      <c r="F18" s="1">
        <v>3.8033495394362045</v>
      </c>
      <c r="G18" s="1">
        <v>3.8944055814064664</v>
      </c>
      <c r="H18" s="1">
        <v>3.8033495394362045</v>
      </c>
      <c r="I18" s="1">
        <v>3.8944055814064664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D7B9-E557-2D4E-99FA-2320A9CF6E7F}">
  <dimension ref="B2:K10"/>
  <sheetViews>
    <sheetView topLeftCell="C1" zoomScale="166" zoomScaleNormal="166" workbookViewId="0">
      <selection activeCell="F7" sqref="F7"/>
    </sheetView>
  </sheetViews>
  <sheetFormatPr baseColWidth="10" defaultRowHeight="20"/>
  <sheetData>
    <row r="2" spans="2:11">
      <c r="B2" t="s">
        <v>46</v>
      </c>
    </row>
    <row r="3" spans="2:11">
      <c r="D3" t="s">
        <v>47</v>
      </c>
      <c r="F3" t="s">
        <v>48</v>
      </c>
      <c r="H3" t="s">
        <v>50</v>
      </c>
      <c r="I3" t="s">
        <v>49</v>
      </c>
      <c r="K3" s="4"/>
    </row>
    <row r="4" spans="2:11">
      <c r="C4" t="s">
        <v>37</v>
      </c>
      <c r="D4" t="s">
        <v>0</v>
      </c>
      <c r="E4" t="s">
        <v>37</v>
      </c>
      <c r="F4" t="s">
        <v>0</v>
      </c>
      <c r="G4" t="s">
        <v>37</v>
      </c>
      <c r="J4" t="s">
        <v>27</v>
      </c>
      <c r="K4" t="s">
        <v>28</v>
      </c>
    </row>
    <row r="5" spans="2:11">
      <c r="B5" t="s">
        <v>34</v>
      </c>
      <c r="C5">
        <v>511</v>
      </c>
      <c r="D5">
        <v>138</v>
      </c>
      <c r="E5">
        <f>D5*$J$5+$K$5</f>
        <v>515.61708073580451</v>
      </c>
      <c r="F5">
        <v>13.5</v>
      </c>
      <c r="G5">
        <f>$J$5*F5</f>
        <v>51.959847065688031</v>
      </c>
      <c r="H5">
        <f>G5/E5</f>
        <v>0.10077216020760876</v>
      </c>
      <c r="I5">
        <f>1/SQRT(E5)</f>
        <v>4.4038888793596818E-2</v>
      </c>
      <c r="J5">
        <v>3.8488775604213354</v>
      </c>
      <c r="K5">
        <v>-15.528022602339774</v>
      </c>
    </row>
    <row r="6" spans="2:11">
      <c r="C6">
        <v>1275</v>
      </c>
      <c r="D6">
        <v>336</v>
      </c>
      <c r="E6">
        <f>D6*$J$5+$K$5</f>
        <v>1277.6948376992291</v>
      </c>
      <c r="F6">
        <v>21.5</v>
      </c>
      <c r="G6">
        <f t="shared" ref="G6:G10" si="0">$J$5*F6</f>
        <v>82.750867549058711</v>
      </c>
      <c r="H6">
        <f t="shared" ref="H6:H10" si="1">G6/E6</f>
        <v>6.4765752437467669E-2</v>
      </c>
      <c r="I6">
        <f t="shared" ref="I6:I10" si="2">1/SQRT(E6)</f>
        <v>2.7976052219496606E-2</v>
      </c>
      <c r="J6">
        <v>1.4305982448012507E-2</v>
      </c>
      <c r="K6">
        <v>3.7878664857879132</v>
      </c>
    </row>
    <row r="7" spans="2:11">
      <c r="B7" t="s">
        <v>41</v>
      </c>
      <c r="C7">
        <v>122</v>
      </c>
      <c r="D7">
        <v>35</v>
      </c>
      <c r="E7">
        <f>D7*$J$5+$K$5</f>
        <v>119.18269201240696</v>
      </c>
      <c r="F7">
        <v>4.5</v>
      </c>
      <c r="G7">
        <f t="shared" si="0"/>
        <v>17.319949021896008</v>
      </c>
      <c r="H7">
        <f>G7/E7</f>
        <v>0.14532268678822086</v>
      </c>
      <c r="I7">
        <f t="shared" si="2"/>
        <v>9.1599563607362294E-2</v>
      </c>
    </row>
    <row r="8" spans="2:11">
      <c r="B8" t="s">
        <v>42</v>
      </c>
      <c r="C8">
        <v>1173</v>
      </c>
      <c r="D8">
        <v>308</v>
      </c>
      <c r="E8">
        <f t="shared" ref="E6:E10" si="3">D8*$J$5+$K$5</f>
        <v>1169.9262660074314</v>
      </c>
      <c r="F8">
        <v>16.5</v>
      </c>
      <c r="G8">
        <f t="shared" si="0"/>
        <v>63.506479746952031</v>
      </c>
      <c r="H8">
        <f t="shared" si="1"/>
        <v>5.4282463427099976E-2</v>
      </c>
      <c r="I8">
        <f t="shared" si="2"/>
        <v>2.9236188564454289E-2</v>
      </c>
    </row>
    <row r="9" spans="2:11">
      <c r="C9">
        <v>1333</v>
      </c>
      <c r="D9">
        <v>350</v>
      </c>
      <c r="E9">
        <f t="shared" si="3"/>
        <v>1331.5791235451275</v>
      </c>
      <c r="F9">
        <v>20</v>
      </c>
      <c r="G9">
        <f t="shared" si="0"/>
        <v>76.977551208426704</v>
      </c>
      <c r="H9">
        <f t="shared" si="1"/>
        <v>5.7809220531698971E-2</v>
      </c>
      <c r="I9">
        <f t="shared" si="2"/>
        <v>2.7404161051413384E-2</v>
      </c>
    </row>
    <row r="10" spans="2:11">
      <c r="B10" t="s">
        <v>43</v>
      </c>
      <c r="C10">
        <v>661.7</v>
      </c>
      <c r="D10">
        <v>178</v>
      </c>
      <c r="E10">
        <f t="shared" si="3"/>
        <v>669.57218315265789</v>
      </c>
      <c r="F10">
        <v>16</v>
      </c>
      <c r="G10">
        <f t="shared" si="0"/>
        <v>61.582040966741367</v>
      </c>
      <c r="H10">
        <f t="shared" si="1"/>
        <v>9.1972221242502067E-2</v>
      </c>
      <c r="I10">
        <f t="shared" si="2"/>
        <v>3.8645710707761918E-2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B69F-F9F6-E546-ABE7-BAC8EC966A13}">
  <dimension ref="A2:F16"/>
  <sheetViews>
    <sheetView tabSelected="1" workbookViewId="0">
      <selection activeCell="G10" sqref="G10"/>
    </sheetView>
  </sheetViews>
  <sheetFormatPr baseColWidth="10" defaultRowHeight="20"/>
  <sheetData>
    <row r="2" spans="1:6">
      <c r="A2" t="s">
        <v>51</v>
      </c>
    </row>
    <row r="3" spans="1:6">
      <c r="B3" t="s">
        <v>53</v>
      </c>
      <c r="E3" t="s">
        <v>54</v>
      </c>
      <c r="F3" t="s">
        <v>28</v>
      </c>
    </row>
    <row r="4" spans="1:6">
      <c r="B4" t="s">
        <v>0</v>
      </c>
      <c r="C4" t="s">
        <v>52</v>
      </c>
      <c r="E4" s="5">
        <v>1.9230217530069063</v>
      </c>
      <c r="F4" s="5">
        <v>9.4693284754248452</v>
      </c>
    </row>
    <row r="5" spans="1:6">
      <c r="B5">
        <v>25</v>
      </c>
      <c r="C5">
        <v>56</v>
      </c>
    </row>
    <row r="6" spans="1:6">
      <c r="B6">
        <v>50</v>
      </c>
      <c r="C6">
        <v>106</v>
      </c>
    </row>
    <row r="7" spans="1:6">
      <c r="B7">
        <v>76</v>
      </c>
      <c r="C7">
        <v>156</v>
      </c>
    </row>
    <row r="8" spans="1:6">
      <c r="B8">
        <v>102</v>
      </c>
      <c r="C8">
        <v>206</v>
      </c>
    </row>
    <row r="9" spans="1:6">
      <c r="B9">
        <v>128</v>
      </c>
      <c r="C9">
        <v>256</v>
      </c>
      <c r="E9">
        <v>11.3</v>
      </c>
    </row>
    <row r="10" spans="1:6">
      <c r="B10">
        <v>154</v>
      </c>
      <c r="C10">
        <v>306</v>
      </c>
      <c r="E10">
        <f>E9*E4</f>
        <v>21.73014580897804</v>
      </c>
    </row>
    <row r="11" spans="1:6">
      <c r="B11">
        <v>180</v>
      </c>
      <c r="C11">
        <v>356</v>
      </c>
    </row>
    <row r="12" spans="1:6">
      <c r="B12">
        <v>206</v>
      </c>
      <c r="C12">
        <v>406</v>
      </c>
      <c r="E12">
        <v>6.4219999999999997</v>
      </c>
    </row>
    <row r="13" spans="1:6">
      <c r="B13">
        <v>232</v>
      </c>
      <c r="C13">
        <v>456</v>
      </c>
      <c r="E13">
        <f>E12*E4</f>
        <v>12.349645697810351</v>
      </c>
    </row>
    <row r="14" spans="1:6">
      <c r="B14">
        <v>259</v>
      </c>
      <c r="C14">
        <v>506</v>
      </c>
    </row>
    <row r="15" spans="1:6">
      <c r="E15">
        <v>6.7389999999999999</v>
      </c>
    </row>
    <row r="16" spans="1:6">
      <c r="E16">
        <f>E4*E15</f>
        <v>12.959243593513541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CD90-B5DB-234B-AAFE-811482D928C8}">
  <dimension ref="A1:I18"/>
  <sheetViews>
    <sheetView topLeftCell="A2" zoomScale="150" workbookViewId="0">
      <selection activeCell="B17" sqref="B17"/>
    </sheetView>
  </sheetViews>
  <sheetFormatPr baseColWidth="10" defaultRowHeight="20"/>
  <sheetData>
    <row r="1" spans="1:9">
      <c r="A1" t="s">
        <v>2</v>
      </c>
    </row>
    <row r="2" spans="1:9" ht="21" thickBot="1"/>
    <row r="3" spans="1:9">
      <c r="A3" s="8" t="s">
        <v>3</v>
      </c>
      <c r="B3" s="8"/>
    </row>
    <row r="4" spans="1:9">
      <c r="A4" s="5" t="s">
        <v>4</v>
      </c>
      <c r="B4" s="5">
        <v>0.99998565567891595</v>
      </c>
    </row>
    <row r="5" spans="1:9">
      <c r="A5" s="5" t="s">
        <v>5</v>
      </c>
      <c r="B5" s="5">
        <v>0.99997131156359154</v>
      </c>
    </row>
    <row r="6" spans="1:9">
      <c r="A6" s="5" t="s">
        <v>6</v>
      </c>
      <c r="B6" s="5">
        <v>0.99996772550904045</v>
      </c>
    </row>
    <row r="7" spans="1:9">
      <c r="A7" s="5" t="s">
        <v>7</v>
      </c>
      <c r="B7" s="5">
        <v>0.8600138087010355</v>
      </c>
    </row>
    <row r="8" spans="1:9" ht="21" thickBot="1">
      <c r="A8" s="6" t="s">
        <v>8</v>
      </c>
      <c r="B8" s="6">
        <v>10</v>
      </c>
    </row>
    <row r="10" spans="1:9" ht="21" thickBot="1">
      <c r="A10" t="s">
        <v>9</v>
      </c>
    </row>
    <row r="11" spans="1:9">
      <c r="A11" s="7"/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</row>
    <row r="12" spans="1:9">
      <c r="A12" s="5" t="s">
        <v>10</v>
      </c>
      <c r="B12" s="5">
        <v>1</v>
      </c>
      <c r="C12" s="5">
        <v>206244.08300999075</v>
      </c>
      <c r="D12" s="5">
        <v>206244.08300999075</v>
      </c>
      <c r="E12" s="5">
        <v>278850.0000000156</v>
      </c>
      <c r="F12" s="5">
        <v>1.8522114878870002E-19</v>
      </c>
    </row>
    <row r="13" spans="1:9">
      <c r="A13" s="5" t="s">
        <v>11</v>
      </c>
      <c r="B13" s="5">
        <v>8</v>
      </c>
      <c r="C13" s="5">
        <v>5.9169900092516903</v>
      </c>
      <c r="D13" s="5">
        <v>0.73962375115646128</v>
      </c>
      <c r="E13" s="5"/>
      <c r="F13" s="5"/>
    </row>
    <row r="14" spans="1:9" ht="21" thickBot="1">
      <c r="A14" s="6" t="s">
        <v>12</v>
      </c>
      <c r="B14" s="6">
        <v>9</v>
      </c>
      <c r="C14" s="6">
        <v>206250</v>
      </c>
      <c r="D14" s="6"/>
      <c r="E14" s="6"/>
      <c r="F14" s="6"/>
    </row>
    <row r="15" spans="1:9" ht="21" thickBot="1"/>
    <row r="16" spans="1:9">
      <c r="A16" s="7"/>
      <c r="B16" s="7" t="s">
        <v>19</v>
      </c>
      <c r="C16" s="7" t="s">
        <v>7</v>
      </c>
      <c r="D16" s="7" t="s">
        <v>20</v>
      </c>
      <c r="E16" s="7" t="s">
        <v>21</v>
      </c>
      <c r="F16" s="7" t="s">
        <v>22</v>
      </c>
      <c r="G16" s="7" t="s">
        <v>23</v>
      </c>
      <c r="H16" s="7" t="s">
        <v>24</v>
      </c>
      <c r="I16" s="7" t="s">
        <v>25</v>
      </c>
    </row>
    <row r="17" spans="1:9">
      <c r="A17" s="5" t="s">
        <v>13</v>
      </c>
      <c r="B17" s="5">
        <v>9.4693284754248452</v>
      </c>
      <c r="C17" s="5">
        <v>0.58169221916100677</v>
      </c>
      <c r="D17" s="5">
        <v>16.278932678664258</v>
      </c>
      <c r="E17" s="5">
        <v>2.0403247101735171E-7</v>
      </c>
      <c r="F17" s="5">
        <v>8.1279438126234744</v>
      </c>
      <c r="G17" s="5">
        <v>10.810713138226216</v>
      </c>
      <c r="H17" s="5">
        <v>8.1279438126234744</v>
      </c>
      <c r="I17" s="5">
        <v>10.810713138226216</v>
      </c>
    </row>
    <row r="18" spans="1:9" ht="21" thickBot="1">
      <c r="A18" s="6" t="s">
        <v>26</v>
      </c>
      <c r="B18" s="6">
        <v>1.9230217530069063</v>
      </c>
      <c r="C18" s="6">
        <v>3.6416556117431337E-3</v>
      </c>
      <c r="D18" s="6">
        <v>528.06249630135198</v>
      </c>
      <c r="E18" s="6">
        <v>1.8522114878870134E-19</v>
      </c>
      <c r="F18" s="6">
        <v>1.9146240801072372</v>
      </c>
      <c r="G18" s="6">
        <v>1.9314194259065753</v>
      </c>
      <c r="H18" s="6">
        <v>1.9146240801072372</v>
      </c>
      <c r="I18" s="6">
        <v>1.9314194259065753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Rei</dc:creator>
  <cp:lastModifiedBy>Sasa Rei</cp:lastModifiedBy>
  <dcterms:created xsi:type="dcterms:W3CDTF">2026-04-28T06:08:31Z</dcterms:created>
  <dcterms:modified xsi:type="dcterms:W3CDTF">2026-05-13T17:58:05Z</dcterms:modified>
</cp:coreProperties>
</file>